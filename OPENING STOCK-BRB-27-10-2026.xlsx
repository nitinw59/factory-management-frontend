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D:\KHUSHAL\"/>
    </mc:Choice>
  </mc:AlternateContent>
  <xr:revisionPtr revIDLastSave="0" documentId="13_ncr:1_{C9CA4519-118F-44D7-AD47-CD4999966443}" xr6:coauthVersionLast="47" xr6:coauthVersionMax="47" xr10:uidLastSave="{00000000-0000-0000-0000-000000000000}"/>
  <bookViews>
    <workbookView xWindow="-120" yWindow="-120" windowWidth="29040" windowHeight="15720" xr2:uid="{8CE2F2BA-46AF-41E8-85FC-8D4EF0F1FDC9}"/>
  </bookViews>
  <sheets>
    <sheet name="OPENING STOCK-27-10-2026" sheetId="1" r:id="rId1"/>
  </sheets>
  <definedNames>
    <definedName name="_xlnm._FilterDatabase" localSheetId="0" hidden="1">'OPENING STOCK-27-10-2026'!$B$3:$I$3</definedName>
  </definedNames>
  <calcPr calcId="191029"/>
  <pivotCaches>
    <pivotCache cacheId="28" r:id="rId2"/>
    <pivotCache cacheId="3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F2" i="1"/>
</calcChain>
</file>

<file path=xl/sharedStrings.xml><?xml version="1.0" encoding="utf-8"?>
<sst xmlns="http://schemas.openxmlformats.org/spreadsheetml/2006/main" count="419" uniqueCount="69">
  <si>
    <t>Bale No.</t>
  </si>
  <si>
    <t>Fabric Type</t>
  </si>
  <si>
    <t>Color</t>
  </si>
  <si>
    <t>Color Code</t>
  </si>
  <si>
    <t>Meters</t>
  </si>
  <si>
    <t>UOM</t>
  </si>
  <si>
    <t>Supplier</t>
  </si>
  <si>
    <t>Remarks</t>
  </si>
  <si>
    <t>BRB</t>
  </si>
  <si>
    <t>BLACK</t>
  </si>
  <si>
    <t>826</t>
  </si>
  <si>
    <t>MKM</t>
  </si>
  <si>
    <t>AVAILBLE ON 27-10</t>
  </si>
  <si>
    <t>147</t>
  </si>
  <si>
    <t>Light sandle</t>
  </si>
  <si>
    <t>891</t>
  </si>
  <si>
    <t>142</t>
  </si>
  <si>
    <t>158</t>
  </si>
  <si>
    <t>149</t>
  </si>
  <si>
    <t>160</t>
  </si>
  <si>
    <t>146</t>
  </si>
  <si>
    <t>163</t>
  </si>
  <si>
    <t>KHAKI</t>
  </si>
  <si>
    <t>836</t>
  </si>
  <si>
    <t>425</t>
  </si>
  <si>
    <t>CHORCOAL BROWN</t>
  </si>
  <si>
    <t>952</t>
  </si>
  <si>
    <t xml:space="preserve">COFFE </t>
  </si>
  <si>
    <t>925</t>
  </si>
  <si>
    <t>378</t>
  </si>
  <si>
    <t>PISTA GREEN</t>
  </si>
  <si>
    <t>812</t>
  </si>
  <si>
    <t>141</t>
  </si>
  <si>
    <t>511</t>
  </si>
  <si>
    <t>WHITE</t>
  </si>
  <si>
    <t>810</t>
  </si>
  <si>
    <t>519</t>
  </si>
  <si>
    <t>364</t>
  </si>
  <si>
    <t>565</t>
  </si>
  <si>
    <t>69</t>
  </si>
  <si>
    <t>LIGHT GREY</t>
  </si>
  <si>
    <t>948</t>
  </si>
  <si>
    <t>343</t>
  </si>
  <si>
    <t>66</t>
  </si>
  <si>
    <t>70</t>
  </si>
  <si>
    <t>60</t>
  </si>
  <si>
    <t>21</t>
  </si>
  <si>
    <t>WATER_GREY</t>
  </si>
  <si>
    <t>845</t>
  </si>
  <si>
    <t>9</t>
  </si>
  <si>
    <t>35</t>
  </si>
  <si>
    <t>17</t>
  </si>
  <si>
    <t>34</t>
  </si>
  <si>
    <t>554</t>
  </si>
  <si>
    <t>370</t>
  </si>
  <si>
    <t>GREY</t>
  </si>
  <si>
    <t>483</t>
  </si>
  <si>
    <t>PEACOCK</t>
  </si>
  <si>
    <t/>
  </si>
  <si>
    <t>(blank)</t>
  </si>
  <si>
    <t>Grand Total</t>
  </si>
  <si>
    <t>Sum of Meters</t>
  </si>
  <si>
    <t>Total</t>
  </si>
  <si>
    <t>Yrds</t>
  </si>
  <si>
    <t>PISTA</t>
  </si>
  <si>
    <t>SANDLE</t>
  </si>
  <si>
    <t>BOTTLE GREEN</t>
  </si>
  <si>
    <t>MOUSE</t>
  </si>
  <si>
    <t>DARK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</si>
</sst>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color theme="1"/>
      <name val="Utsaah"/>
      <family val="2"/>
    </font>
    <font>
      <sz val="14"/>
      <color theme="1"/>
      <name val="Utsaah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85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_R_COMPUTERS" refreshedDate="46322.71436111111" createdVersion="8" refreshedVersion="8" minRefreshableVersion="3" recordCount="15" xr:uid="{44BEB78C-D4EA-4DE7-9B16-FDE66F1EA917}">
  <cacheSource type="worksheet">
    <worksheetSource ref="B48:I63" sheet="OPENING STOCK-27-10-2026"/>
  </cacheSource>
  <cacheFields count="8">
    <cacheField name="Bale No." numFmtId="0">
      <sharedItems containsSemiMixedTypes="0" containsString="0" containsNumber="1" containsInteger="1" minValue="100" maxValue="420"/>
    </cacheField>
    <cacheField name="Fabric Type" numFmtId="0">
      <sharedItems/>
    </cacheField>
    <cacheField name="Color" numFmtId="0">
      <sharedItems count="5">
        <s v="PISTA"/>
        <s v="SANDLE"/>
        <s v="BOTTLE GREEN"/>
        <s v="MOUSE"/>
        <s v="GREY"/>
      </sharedItems>
    </cacheField>
    <cacheField name="Color Code" numFmtId="0">
      <sharedItems containsSemiMixedTypes="0" containsString="0" containsNumber="1" containsInteger="1" minValue="809" maxValue="931" count="5">
        <n v="880"/>
        <n v="835"/>
        <n v="931"/>
        <n v="841"/>
        <n v="809"/>
      </sharedItems>
    </cacheField>
    <cacheField name="Meters" numFmtId="0">
      <sharedItems containsSemiMixedTypes="0" containsString="0" containsNumber="1" containsInteger="1" minValue="99" maxValue="120"/>
    </cacheField>
    <cacheField name="UOM" numFmtId="0">
      <sharedItems count="1">
        <s v="Yrds"/>
      </sharedItems>
    </cacheField>
    <cacheField name="Supplier" numFmtId="0">
      <sharedItems/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_R_COMPUTERS" refreshedDate="46322.719043518518" createdVersion="8" refreshedVersion="8" minRefreshableVersion="3" recordCount="41" xr:uid="{4A3E2637-739D-4519-AEDC-D5EBF81DBA01}">
  <cacheSource type="worksheet">
    <worksheetSource ref="B3:I44" sheet="OPENING STOCK-27-10-2026"/>
  </cacheSource>
  <cacheFields count="8">
    <cacheField name="Bale No." numFmtId="0">
      <sharedItems containsBlank="1" containsMixedTypes="1" containsNumber="1" containsInteger="1" minValue="194" maxValue="774"/>
    </cacheField>
    <cacheField name="Fabric Type" numFmtId="0">
      <sharedItems/>
    </cacheField>
    <cacheField name="Color" numFmtId="0">
      <sharedItems containsBlank="1" count="13">
        <s v="BLACK"/>
        <s v="Light sandle"/>
        <s v="KHAKI"/>
        <s v="CHORCOAL BROWN"/>
        <s v="COFFE "/>
        <s v="PISTA GREEN"/>
        <s v="WHITE"/>
        <s v="LIGHT GREY"/>
        <s v="WATER_GREY"/>
        <s v="GREY"/>
        <s v="PEACOCK"/>
        <s v="DARK ASH"/>
        <m/>
      </sharedItems>
    </cacheField>
    <cacheField name="Color Code" numFmtId="0">
      <sharedItems containsMixedTypes="1" containsNumber="1" containsInteger="1" minValue="62" maxValue="819" count="13">
        <s v="826"/>
        <s v="891"/>
        <s v="836"/>
        <s v="952"/>
        <s v="925"/>
        <s v="812"/>
        <s v="810"/>
        <s v="948"/>
        <s v="845"/>
        <n v="809"/>
        <n v="818"/>
        <n v="819"/>
        <n v="62"/>
      </sharedItems>
    </cacheField>
    <cacheField name="Meters" numFmtId="0">
      <sharedItems containsSemiMixedTypes="0" containsString="0" containsNumber="1" containsInteger="1" minValue="72" maxValue="136"/>
    </cacheField>
    <cacheField name="UOM" numFmtId="0">
      <sharedItems count="3">
        <s v="Yrds"/>
        <s v="mtr" u="1"/>
        <s v="yard" u="1"/>
      </sharedItems>
    </cacheField>
    <cacheField name="Supplier" numFmtId="0">
      <sharedItems/>
    </cacheField>
    <cacheField name="Remark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8"/>
    <s v="BRB"/>
    <x v="0"/>
    <x v="0"/>
    <n v="99"/>
    <x v="0"/>
    <s v="MKM"/>
    <s v="AVAILBLE ON 27-10"/>
  </r>
  <r>
    <n v="205"/>
    <s v="BRB"/>
    <x v="0"/>
    <x v="0"/>
    <n v="104"/>
    <x v="0"/>
    <s v="MKM"/>
    <s v="AVAILBLE ON 27-10"/>
  </r>
  <r>
    <n v="201"/>
    <s v="BRB"/>
    <x v="0"/>
    <x v="0"/>
    <n v="106"/>
    <x v="0"/>
    <s v="MKM"/>
    <s v="AVAILBLE ON 27-10"/>
  </r>
  <r>
    <n v="100"/>
    <s v="BRB"/>
    <x v="1"/>
    <x v="1"/>
    <n v="113"/>
    <x v="0"/>
    <s v="MKM"/>
    <s v="AVAILBLE ON 27-10"/>
  </r>
  <r>
    <n v="108"/>
    <s v="BRB"/>
    <x v="1"/>
    <x v="1"/>
    <n v="114"/>
    <x v="0"/>
    <s v="MKM"/>
    <s v="AVAILBLE ON 27-10"/>
  </r>
  <r>
    <n v="105"/>
    <s v="BRB"/>
    <x v="1"/>
    <x v="1"/>
    <n v="113"/>
    <x v="0"/>
    <s v="MKM"/>
    <s v="AVAILBLE ON 27-10"/>
  </r>
  <r>
    <n v="420"/>
    <s v="BRB"/>
    <x v="2"/>
    <x v="2"/>
    <n v="112"/>
    <x v="0"/>
    <s v="MKM"/>
    <s v="AVAILBLE ON 27-10"/>
  </r>
  <r>
    <n v="152"/>
    <s v="BRB"/>
    <x v="2"/>
    <x v="2"/>
    <n v="115"/>
    <x v="0"/>
    <s v="MKM"/>
    <s v="AVAILBLE ON 27-10"/>
  </r>
  <r>
    <n v="322"/>
    <s v="BRB"/>
    <x v="2"/>
    <x v="2"/>
    <n v="116"/>
    <x v="0"/>
    <s v="MKM"/>
    <s v="AVAILBLE ON 27-10"/>
  </r>
  <r>
    <n v="251"/>
    <s v="BRB"/>
    <x v="3"/>
    <x v="3"/>
    <n v="119"/>
    <x v="0"/>
    <s v="MKM"/>
    <s v="AVAILBLE ON 27-10"/>
  </r>
  <r>
    <n v="248"/>
    <s v="BRB"/>
    <x v="3"/>
    <x v="3"/>
    <n v="111"/>
    <x v="0"/>
    <s v="MKM"/>
    <s v="AVAILBLE ON 27-10"/>
  </r>
  <r>
    <n v="241"/>
    <s v="BRB"/>
    <x v="3"/>
    <x v="3"/>
    <n v="110"/>
    <x v="0"/>
    <s v="MKM"/>
    <s v="AVAILBLE ON 27-10"/>
  </r>
  <r>
    <n v="222"/>
    <s v="BRB"/>
    <x v="4"/>
    <x v="4"/>
    <n v="118"/>
    <x v="0"/>
    <s v="MKM"/>
    <s v="AVAILBLE ON 27-10"/>
  </r>
  <r>
    <n v="245"/>
    <s v="BRB"/>
    <x v="4"/>
    <x v="4"/>
    <n v="118"/>
    <x v="0"/>
    <s v="MKM"/>
    <s v="AVAILBLE ON 27-10"/>
  </r>
  <r>
    <n v="239"/>
    <s v="BRB"/>
    <x v="4"/>
    <x v="4"/>
    <n v="120"/>
    <x v="0"/>
    <s v="MKM"/>
    <s v="AVAILBLE ON 27-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m/>
    <s v="BRB"/>
    <x v="0"/>
    <x v="0"/>
    <n v="109"/>
    <x v="0"/>
    <s v="MKM"/>
    <s v="AVAILBLE ON 27-10"/>
  </r>
  <r>
    <m/>
    <s v="BRB"/>
    <x v="0"/>
    <x v="0"/>
    <n v="112"/>
    <x v="0"/>
    <s v="MKM"/>
    <s v="AVAILBLE ON 27-10"/>
  </r>
  <r>
    <m/>
    <s v="BRB"/>
    <x v="0"/>
    <x v="0"/>
    <n v="136"/>
    <x v="0"/>
    <s v="MKM"/>
    <s v="AVAILBLE ON 27-10"/>
  </r>
  <r>
    <s v="147"/>
    <s v="BRB"/>
    <x v="1"/>
    <x v="1"/>
    <n v="115"/>
    <x v="0"/>
    <s v="MKM"/>
    <s v="AVAILBLE ON 27-10"/>
  </r>
  <r>
    <s v="142"/>
    <s v="BRB"/>
    <x v="1"/>
    <x v="1"/>
    <n v="113"/>
    <x v="0"/>
    <s v="MKM"/>
    <s v="AVAILBLE ON 27-10"/>
  </r>
  <r>
    <s v="158"/>
    <s v="BRB"/>
    <x v="1"/>
    <x v="1"/>
    <n v="114"/>
    <x v="0"/>
    <s v="MKM"/>
    <s v="AVAILBLE ON 27-10"/>
  </r>
  <r>
    <s v="149"/>
    <s v="BRB"/>
    <x v="1"/>
    <x v="1"/>
    <n v="117"/>
    <x v="0"/>
    <s v="MKM"/>
    <s v="AVAILBLE ON 27-10"/>
  </r>
  <r>
    <s v="160"/>
    <s v="BRB"/>
    <x v="1"/>
    <x v="1"/>
    <n v="116"/>
    <x v="0"/>
    <s v="MKM"/>
    <s v="AVAILBLE ON 27-10"/>
  </r>
  <r>
    <s v="146"/>
    <s v="BRB"/>
    <x v="1"/>
    <x v="1"/>
    <n v="118"/>
    <x v="0"/>
    <s v="MKM"/>
    <s v="AVAILBLE ON 27-10"/>
  </r>
  <r>
    <s v="163"/>
    <s v="BRB"/>
    <x v="1"/>
    <x v="1"/>
    <n v="112"/>
    <x v="0"/>
    <s v="MKM"/>
    <s v="AVAILBLE ON 27-10"/>
  </r>
  <r>
    <m/>
    <s v="BRB"/>
    <x v="0"/>
    <x v="0"/>
    <n v="72"/>
    <x v="0"/>
    <s v="MKM"/>
    <s v="AVAILBLE ON 27-10"/>
  </r>
  <r>
    <m/>
    <s v="BRB"/>
    <x v="2"/>
    <x v="2"/>
    <n v="119"/>
    <x v="0"/>
    <s v="MKM"/>
    <s v="AVAILBLE ON 27-10"/>
  </r>
  <r>
    <s v="425"/>
    <s v="BRB"/>
    <x v="3"/>
    <x v="3"/>
    <n v="115"/>
    <x v="0"/>
    <s v="MKM"/>
    <s v="AVAILBLE ON 27-10"/>
  </r>
  <r>
    <m/>
    <s v="BRB"/>
    <x v="4"/>
    <x v="4"/>
    <n v="97"/>
    <x v="0"/>
    <s v="MKM"/>
    <s v="AVAILBLE ON 27-10"/>
  </r>
  <r>
    <s v="378"/>
    <s v="BRB"/>
    <x v="2"/>
    <x v="2"/>
    <n v="117"/>
    <x v="0"/>
    <s v="MKM"/>
    <s v="AVAILBLE ON 27-10"/>
  </r>
  <r>
    <m/>
    <s v="BRB"/>
    <x v="5"/>
    <x v="5"/>
    <n v="104"/>
    <x v="0"/>
    <s v="MKM"/>
    <s v="AVAILBLE ON 27-10"/>
  </r>
  <r>
    <s v="141"/>
    <s v="BRB"/>
    <x v="1"/>
    <x v="1"/>
    <n v="129"/>
    <x v="0"/>
    <s v="MKM"/>
    <s v="AVAILBLE ON 27-10"/>
  </r>
  <r>
    <m/>
    <s v="BRB"/>
    <x v="4"/>
    <x v="4"/>
    <n v="124"/>
    <x v="0"/>
    <s v="MKM"/>
    <s v="AVAILBLE ON 27-10"/>
  </r>
  <r>
    <s v="511"/>
    <s v="BRB"/>
    <x v="6"/>
    <x v="6"/>
    <n v="112"/>
    <x v="0"/>
    <s v="MKM"/>
    <s v="AVAILBLE ON 27-10"/>
  </r>
  <r>
    <s v="519"/>
    <s v="BRB"/>
    <x v="6"/>
    <x v="6"/>
    <n v="108"/>
    <x v="0"/>
    <s v="MKM"/>
    <s v="AVAILBLE ON 27-10"/>
  </r>
  <r>
    <s v="364"/>
    <s v="BRB"/>
    <x v="6"/>
    <x v="6"/>
    <n v="123"/>
    <x v="0"/>
    <s v="MKM"/>
    <s v="AVAILBLE ON 27-10"/>
  </r>
  <r>
    <s v="565"/>
    <s v="BRB"/>
    <x v="6"/>
    <x v="6"/>
    <n v="117"/>
    <x v="0"/>
    <s v="MKM"/>
    <s v="AVAILBLE ON 27-10"/>
  </r>
  <r>
    <s v="69"/>
    <s v="BRB"/>
    <x v="7"/>
    <x v="7"/>
    <n v="113"/>
    <x v="0"/>
    <s v="MKM"/>
    <s v="AVAILBLE ON 27-10"/>
  </r>
  <r>
    <s v="343"/>
    <s v="BRB"/>
    <x v="7"/>
    <x v="7"/>
    <n v="117"/>
    <x v="0"/>
    <s v="MKM"/>
    <s v="AVAILBLE ON 27-10"/>
  </r>
  <r>
    <s v="66"/>
    <s v="BRB"/>
    <x v="7"/>
    <x v="7"/>
    <n v="115"/>
    <x v="0"/>
    <s v="MKM"/>
    <s v="AVAILBLE ON 27-10"/>
  </r>
  <r>
    <s v="70"/>
    <s v="BRB"/>
    <x v="7"/>
    <x v="7"/>
    <n v="118"/>
    <x v="0"/>
    <s v="MKM"/>
    <s v="AVAILBLE ON 27-10"/>
  </r>
  <r>
    <s v="60"/>
    <s v="BRB"/>
    <x v="7"/>
    <x v="7"/>
    <n v="117"/>
    <x v="0"/>
    <s v="MKM"/>
    <s v="AVAILBLE ON 27-10"/>
  </r>
  <r>
    <s v="21"/>
    <s v="BRB"/>
    <x v="8"/>
    <x v="8"/>
    <n v="115"/>
    <x v="0"/>
    <s v="MKM"/>
    <s v="AVAILBLE ON 27-10"/>
  </r>
  <r>
    <s v="9"/>
    <s v="BRB"/>
    <x v="8"/>
    <x v="8"/>
    <n v="120"/>
    <x v="0"/>
    <s v="MKM"/>
    <s v="AVAILBLE ON 27-10"/>
  </r>
  <r>
    <s v="35"/>
    <s v="BRB"/>
    <x v="8"/>
    <x v="8"/>
    <n v="112"/>
    <x v="0"/>
    <s v="MKM"/>
    <s v="AVAILBLE ON 27-10"/>
  </r>
  <r>
    <s v="17"/>
    <s v="BRB"/>
    <x v="8"/>
    <x v="8"/>
    <n v="120"/>
    <x v="0"/>
    <s v="MKM"/>
    <s v="AVAILBLE ON 27-10"/>
  </r>
  <r>
    <s v="34"/>
    <s v="BRB"/>
    <x v="8"/>
    <x v="8"/>
    <n v="116"/>
    <x v="0"/>
    <s v="MKM"/>
    <s v="AVAILBLE ON 27-10"/>
  </r>
  <r>
    <s v="554"/>
    <s v="BRB"/>
    <x v="8"/>
    <x v="8"/>
    <n v="111"/>
    <x v="0"/>
    <s v="MKM"/>
    <s v="AVAILBLE ON 27-10"/>
  </r>
  <r>
    <s v="370"/>
    <s v="BRB"/>
    <x v="8"/>
    <x v="8"/>
    <n v="113"/>
    <x v="0"/>
    <s v="MKM"/>
    <s v="AVAILBLE ON 27-10"/>
  </r>
  <r>
    <m/>
    <s v="BRB"/>
    <x v="9"/>
    <x v="9"/>
    <n v="116"/>
    <x v="0"/>
    <s v="MKM"/>
    <s v="AVAILBLE ON 27-10"/>
  </r>
  <r>
    <s v="483"/>
    <s v="BRB"/>
    <x v="10"/>
    <x v="10"/>
    <n v="117"/>
    <x v="0"/>
    <s v="MKM"/>
    <s v="AVAILBLE ON 27-10"/>
  </r>
  <r>
    <s v=""/>
    <s v="BRB"/>
    <x v="8"/>
    <x v="8"/>
    <n v="119"/>
    <x v="0"/>
    <s v="MKM"/>
    <s v="AVAILBLE ON 27-10"/>
  </r>
  <r>
    <s v=""/>
    <s v="BRB"/>
    <x v="8"/>
    <x v="8"/>
    <n v="114"/>
    <x v="0"/>
    <s v="MKM"/>
    <s v="AVAILBLE ON 27-10"/>
  </r>
  <r>
    <s v=""/>
    <s v="BRB"/>
    <x v="8"/>
    <x v="8"/>
    <n v="116"/>
    <x v="0"/>
    <s v="MKM"/>
    <s v="AVAILBLE ON 27-10"/>
  </r>
  <r>
    <n v="774"/>
    <s v="BRB"/>
    <x v="11"/>
    <x v="11"/>
    <n v="104"/>
    <x v="0"/>
    <s v="MKM"/>
    <s v="AVAILBLE ON 27-10"/>
  </r>
  <r>
    <n v="194"/>
    <s v="BRB"/>
    <x v="12"/>
    <x v="12"/>
    <n v="115"/>
    <x v="0"/>
    <s v="MKM"/>
    <s v="AVAILBLE ON 27-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C0D97C-F3EF-4C8A-BE3F-5FF42453F871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K47:N54" firstHeaderRow="2" firstDataRow="2" firstDataCol="3"/>
  <pivotFields count="8">
    <pivotField compact="0" outline="0" showAll="0"/>
    <pivotField compact="0" outline="0" showAll="0"/>
    <pivotField axis="axisRow" compact="0" outline="0" showAll="0" defaultSubtotal="0">
      <items count="5">
        <item x="2"/>
        <item x="4"/>
        <item x="3"/>
        <item x="0"/>
        <item x="1"/>
      </items>
    </pivotField>
    <pivotField axis="axisRow" compact="0" outline="0" showAll="0" defaultSubtotal="0">
      <items count="5">
        <item x="4"/>
        <item x="1"/>
        <item x="3"/>
        <item x="0"/>
        <item x="2"/>
      </items>
    </pivotField>
    <pivotField dataField="1" compact="0" outline="0" showAll="0"/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</pivotFields>
  <rowFields count="3">
    <field x="2"/>
    <field x="3"/>
    <field x="5"/>
  </rowFields>
  <rowItems count="6">
    <i>
      <x/>
      <x v="4"/>
      <x/>
    </i>
    <i>
      <x v="1"/>
      <x/>
      <x/>
    </i>
    <i>
      <x v="2"/>
      <x v="2"/>
      <x/>
    </i>
    <i>
      <x v="3"/>
      <x v="3"/>
      <x/>
    </i>
    <i>
      <x v="4"/>
      <x v="1"/>
      <x/>
    </i>
    <i t="grand">
      <x/>
    </i>
  </rowItems>
  <colItems count="1">
    <i/>
  </colItems>
  <dataFields count="1">
    <dataField name="Sum of Meters" fld="4" baseField="0" baseItem="0"/>
  </dataFields>
  <formats count="19">
    <format dxfId="33">
      <pivotArea type="all" dataOnly="0" outline="0" fieldPosition="0"/>
    </format>
    <format dxfId="34">
      <pivotArea outline="0" collapsedLevelsAreSubtotals="1" fieldPosition="0"/>
    </format>
    <format dxfId="35">
      <pivotArea type="origin" dataOnly="0" labelOnly="1" outline="0" fieldPosition="0"/>
    </format>
    <format dxfId="36">
      <pivotArea field="2" type="button" dataOnly="0" labelOnly="1" outline="0" axis="axisRow" fieldPosition="0"/>
    </format>
    <format dxfId="37">
      <pivotArea field="3" type="button" dataOnly="0" labelOnly="1" outline="0" axis="axisRow" fieldPosition="1"/>
    </format>
    <format dxfId="38">
      <pivotArea field="5" type="button" dataOnly="0" labelOnly="1" outline="0" axis="axisRow" fieldPosition="2"/>
    </format>
    <format dxfId="39">
      <pivotArea dataOnly="0" labelOnly="1" outline="0" fieldPosition="0">
        <references count="1">
          <reference field="2" count="0"/>
        </references>
      </pivotArea>
    </format>
    <format dxfId="40">
      <pivotArea dataOnly="0" labelOnly="1" grandRow="1" outline="0" fieldPosition="0"/>
    </format>
    <format dxfId="41">
      <pivotArea dataOnly="0" labelOnly="1" outline="0" fieldPosition="0">
        <references count="2">
          <reference field="2" count="1" selected="0">
            <x v="0"/>
          </reference>
          <reference field="3" count="1">
            <x v="4"/>
          </reference>
        </references>
      </pivotArea>
    </format>
    <format dxfId="42">
      <pivotArea dataOnly="0" labelOnly="1" outline="0" fieldPosition="0">
        <references count="2">
          <reference field="2" count="1" selected="0">
            <x v="1"/>
          </reference>
          <reference field="3" count="1">
            <x v="0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2"/>
          </reference>
          <reference field="3" count="1">
            <x v="2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3"/>
          </reference>
          <reference field="3" count="1">
            <x v="3"/>
          </reference>
        </references>
      </pivotArea>
    </format>
    <format dxfId="45">
      <pivotArea dataOnly="0" labelOnly="1" outline="0" fieldPosition="0">
        <references count="2">
          <reference field="2" count="1" selected="0">
            <x v="4"/>
          </reference>
          <reference field="3" count="1">
            <x v="1"/>
          </reference>
        </references>
      </pivotArea>
    </format>
    <format dxfId="46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4"/>
          </reference>
          <reference field="5" count="0"/>
        </references>
      </pivotArea>
    </format>
    <format dxfId="47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0"/>
          </reference>
          <reference field="5" count="0"/>
        </references>
      </pivotArea>
    </format>
    <format dxfId="48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2"/>
          </reference>
          <reference field="5" count="0"/>
        </references>
      </pivotArea>
    </format>
    <format dxfId="49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3"/>
          </reference>
          <reference field="5" count="0"/>
        </references>
      </pivotArea>
    </format>
    <format dxfId="50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1"/>
          </reference>
          <reference field="5" count="0"/>
        </references>
      </pivotArea>
    </format>
    <format dxfId="51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3FD8B-7CA1-4633-BDBA-1FBC4DC8D23C}" name="PivotTable2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K5:N20" firstHeaderRow="2" firstDataRow="2" firstDataCol="3"/>
  <pivotFields count="8">
    <pivotField compact="0" outline="0" showAll="0"/>
    <pivotField compact="0" outline="0" showAll="0"/>
    <pivotField axis="axisRow" compact="0" outline="0" showAll="0" defaultSubtotal="0">
      <items count="13">
        <item x="0"/>
        <item x="3"/>
        <item x="4"/>
        <item x="9"/>
        <item x="2"/>
        <item x="7"/>
        <item x="1"/>
        <item x="10"/>
        <item x="5"/>
        <item x="8"/>
        <item x="6"/>
        <item x="12"/>
        <item x="11"/>
      </items>
    </pivotField>
    <pivotField axis="axisRow" compact="0" outline="0" showAll="0" defaultSubtotal="0">
      <items count="13">
        <item x="12"/>
        <item x="9"/>
        <item x="10"/>
        <item x="6"/>
        <item x="5"/>
        <item x="0"/>
        <item x="2"/>
        <item x="8"/>
        <item x="1"/>
        <item x="4"/>
        <item x="7"/>
        <item x="3"/>
        <item x="11"/>
      </items>
    </pivotField>
    <pivotField dataField="1" compact="0" outline="0" showAll="0"/>
    <pivotField axis="axisRow" compact="0" outline="0" showAll="0">
      <items count="4">
        <item m="1" x="1"/>
        <item m="1" x="2"/>
        <item x="0"/>
        <item t="default"/>
      </items>
    </pivotField>
    <pivotField compact="0" outline="0" showAll="0"/>
    <pivotField compact="0" outline="0" showAll="0"/>
  </pivotFields>
  <rowFields count="3">
    <field x="2"/>
    <field x="3"/>
    <field x="5"/>
  </rowFields>
  <rowItems count="14">
    <i>
      <x/>
      <x v="5"/>
      <x v="2"/>
    </i>
    <i>
      <x v="1"/>
      <x v="11"/>
      <x v="2"/>
    </i>
    <i>
      <x v="2"/>
      <x v="9"/>
      <x v="2"/>
    </i>
    <i>
      <x v="3"/>
      <x v="1"/>
      <x v="2"/>
    </i>
    <i>
      <x v="4"/>
      <x v="6"/>
      <x v="2"/>
    </i>
    <i>
      <x v="5"/>
      <x v="10"/>
      <x v="2"/>
    </i>
    <i>
      <x v="6"/>
      <x v="8"/>
      <x v="2"/>
    </i>
    <i>
      <x v="7"/>
      <x v="2"/>
      <x v="2"/>
    </i>
    <i>
      <x v="8"/>
      <x v="4"/>
      <x v="2"/>
    </i>
    <i>
      <x v="9"/>
      <x v="7"/>
      <x v="2"/>
    </i>
    <i>
      <x v="10"/>
      <x v="3"/>
      <x v="2"/>
    </i>
    <i>
      <x v="11"/>
      <x/>
      <x v="2"/>
    </i>
    <i>
      <x v="12"/>
      <x v="12"/>
      <x v="2"/>
    </i>
    <i t="grand">
      <x/>
    </i>
  </rowItems>
  <colItems count="1">
    <i/>
  </colItems>
  <dataFields count="1">
    <dataField name="Sum of Meters" fld="4" baseField="0" baseItem="0"/>
  </dataFields>
  <formats count="33">
    <format dxfId="52">
      <pivotArea type="all" dataOnly="0" outline="0" fieldPosition="0"/>
    </format>
    <format dxfId="53">
      <pivotArea outline="0" collapsedLevelsAreSubtotals="1" fieldPosition="0"/>
    </format>
    <format dxfId="54">
      <pivotArea type="origin" dataOnly="0" labelOnly="1" outline="0" fieldPosition="0"/>
    </format>
    <format dxfId="55">
      <pivotArea field="2" type="button" dataOnly="0" labelOnly="1" outline="0" axis="axisRow" fieldPosition="0"/>
    </format>
    <format dxfId="56">
      <pivotArea field="3" type="button" dataOnly="0" labelOnly="1" outline="0" axis="axisRow" fieldPosition="1"/>
    </format>
    <format dxfId="57">
      <pivotArea field="5" type="button" dataOnly="0" labelOnly="1" outline="0" axis="axisRow" fieldPosition="2"/>
    </format>
    <format dxfId="58">
      <pivotArea dataOnly="0" labelOnly="1" outline="0" fieldPosition="0">
        <references count="1">
          <reference field="2" count="0"/>
        </references>
      </pivotArea>
    </format>
    <format dxfId="59">
      <pivotArea dataOnly="0" labelOnly="1" grandRow="1" outline="0" fieldPosition="0"/>
    </format>
    <format dxfId="60">
      <pivotArea dataOnly="0" labelOnly="1" outline="0" fieldPosition="0">
        <references count="2">
          <reference field="2" count="1" selected="0">
            <x v="0"/>
          </reference>
          <reference field="3" count="1">
            <x v="5"/>
          </reference>
        </references>
      </pivotArea>
    </format>
    <format dxfId="61">
      <pivotArea dataOnly="0" labelOnly="1" outline="0" fieldPosition="0">
        <references count="2">
          <reference field="2" count="1" selected="0">
            <x v="1"/>
          </reference>
          <reference field="3" count="1">
            <x v="11"/>
          </reference>
        </references>
      </pivotArea>
    </format>
    <format dxfId="62">
      <pivotArea dataOnly="0" labelOnly="1" outline="0" fieldPosition="0">
        <references count="2">
          <reference field="2" count="1" selected="0">
            <x v="2"/>
          </reference>
          <reference field="3" count="1">
            <x v="9"/>
          </reference>
        </references>
      </pivotArea>
    </format>
    <format dxfId="63">
      <pivotArea dataOnly="0" labelOnly="1" outline="0" fieldPosition="0">
        <references count="2">
          <reference field="2" count="1" selected="0">
            <x v="3"/>
          </reference>
          <reference field="3" count="1">
            <x v="1"/>
          </reference>
        </references>
      </pivotArea>
    </format>
    <format dxfId="64">
      <pivotArea dataOnly="0" labelOnly="1" outline="0" fieldPosition="0">
        <references count="2">
          <reference field="2" count="1" selected="0">
            <x v="4"/>
          </reference>
          <reference field="3" count="1">
            <x v="6"/>
          </reference>
        </references>
      </pivotArea>
    </format>
    <format dxfId="65">
      <pivotArea dataOnly="0" labelOnly="1" outline="0" fieldPosition="0">
        <references count="2">
          <reference field="2" count="1" selected="0">
            <x v="5"/>
          </reference>
          <reference field="3" count="1">
            <x v="10"/>
          </reference>
        </references>
      </pivotArea>
    </format>
    <format dxfId="66">
      <pivotArea dataOnly="0" labelOnly="1" outline="0" fieldPosition="0">
        <references count="2">
          <reference field="2" count="1" selected="0">
            <x v="6"/>
          </reference>
          <reference field="3" count="1">
            <x v="8"/>
          </reference>
        </references>
      </pivotArea>
    </format>
    <format dxfId="67">
      <pivotArea dataOnly="0" labelOnly="1" outline="0" fieldPosition="0">
        <references count="2">
          <reference field="2" count="1" selected="0">
            <x v="7"/>
          </reference>
          <reference field="3" count="1">
            <x v="2"/>
          </reference>
        </references>
      </pivotArea>
    </format>
    <format dxfId="68">
      <pivotArea dataOnly="0" labelOnly="1" outline="0" fieldPosition="0">
        <references count="2">
          <reference field="2" count="1" selected="0">
            <x v="8"/>
          </reference>
          <reference field="3" count="1">
            <x v="4"/>
          </reference>
        </references>
      </pivotArea>
    </format>
    <format dxfId="69">
      <pivotArea dataOnly="0" labelOnly="1" outline="0" fieldPosition="0">
        <references count="2">
          <reference field="2" count="1" selected="0">
            <x v="9"/>
          </reference>
          <reference field="3" count="1">
            <x v="7"/>
          </reference>
        </references>
      </pivotArea>
    </format>
    <format dxfId="70">
      <pivotArea dataOnly="0" labelOnly="1" outline="0" fieldPosition="0">
        <references count="2">
          <reference field="2" count="1" selected="0">
            <x v="10"/>
          </reference>
          <reference field="3" count="1">
            <x v="3"/>
          </reference>
        </references>
      </pivotArea>
    </format>
    <format dxfId="71">
      <pivotArea dataOnly="0" labelOnly="1" outline="0" fieldPosition="0">
        <references count="2">
          <reference field="2" count="1" selected="0">
            <x v="11"/>
          </reference>
          <reference field="3" count="1">
            <x v="0"/>
          </reference>
        </references>
      </pivotArea>
    </format>
    <format dxfId="72">
      <pivotArea dataOnly="0" labelOnly="1" outline="0" fieldPosition="0">
        <references count="3">
          <reference field="2" count="1" selected="0">
            <x v="0"/>
          </reference>
          <reference field="3" count="1" selected="0">
            <x v="5"/>
          </reference>
          <reference field="5" count="0"/>
        </references>
      </pivotArea>
    </format>
    <format dxfId="73">
      <pivotArea dataOnly="0" labelOnly="1" outline="0" fieldPosition="0">
        <references count="3">
          <reference field="2" count="1" selected="0">
            <x v="1"/>
          </reference>
          <reference field="3" count="1" selected="0">
            <x v="11"/>
          </reference>
          <reference field="5" count="0"/>
        </references>
      </pivotArea>
    </format>
    <format dxfId="74">
      <pivotArea dataOnly="0" labelOnly="1" outline="0" fieldPosition="0">
        <references count="3">
          <reference field="2" count="1" selected="0">
            <x v="2"/>
          </reference>
          <reference field="3" count="1" selected="0">
            <x v="9"/>
          </reference>
          <reference field="5" count="0"/>
        </references>
      </pivotArea>
    </format>
    <format dxfId="75">
      <pivotArea dataOnly="0" labelOnly="1" outline="0" fieldPosition="0">
        <references count="3">
          <reference field="2" count="1" selected="0">
            <x v="3"/>
          </reference>
          <reference field="3" count="1" selected="0">
            <x v="1"/>
          </reference>
          <reference field="5" count="0"/>
        </references>
      </pivotArea>
    </format>
    <format dxfId="76">
      <pivotArea dataOnly="0" labelOnly="1" outline="0" fieldPosition="0">
        <references count="3">
          <reference field="2" count="1" selected="0">
            <x v="4"/>
          </reference>
          <reference field="3" count="1" selected="0">
            <x v="6"/>
          </reference>
          <reference field="5" count="0"/>
        </references>
      </pivotArea>
    </format>
    <format dxfId="77">
      <pivotArea dataOnly="0" labelOnly="1" outline="0" fieldPosition="0">
        <references count="3">
          <reference field="2" count="1" selected="0">
            <x v="5"/>
          </reference>
          <reference field="3" count="1" selected="0">
            <x v="10"/>
          </reference>
          <reference field="5" count="0"/>
        </references>
      </pivotArea>
    </format>
    <format dxfId="78">
      <pivotArea dataOnly="0" labelOnly="1" outline="0" fieldPosition="0">
        <references count="3">
          <reference field="2" count="1" selected="0">
            <x v="6"/>
          </reference>
          <reference field="3" count="1" selected="0">
            <x v="8"/>
          </reference>
          <reference field="5" count="0"/>
        </references>
      </pivotArea>
    </format>
    <format dxfId="79">
      <pivotArea dataOnly="0" labelOnly="1" outline="0" fieldPosition="0">
        <references count="3">
          <reference field="2" count="1" selected="0">
            <x v="7"/>
          </reference>
          <reference field="3" count="1" selected="0">
            <x v="2"/>
          </reference>
          <reference field="5" count="0"/>
        </references>
      </pivotArea>
    </format>
    <format dxfId="80">
      <pivotArea dataOnly="0" labelOnly="1" outline="0" fieldPosition="0">
        <references count="3">
          <reference field="2" count="1" selected="0">
            <x v="8"/>
          </reference>
          <reference field="3" count="1" selected="0">
            <x v="4"/>
          </reference>
          <reference field="5" count="0"/>
        </references>
      </pivotArea>
    </format>
    <format dxfId="81">
      <pivotArea dataOnly="0" labelOnly="1" outline="0" fieldPosition="0">
        <references count="3">
          <reference field="2" count="1" selected="0">
            <x v="9"/>
          </reference>
          <reference field="3" count="1" selected="0">
            <x v="7"/>
          </reference>
          <reference field="5" count="0"/>
        </references>
      </pivotArea>
    </format>
    <format dxfId="82">
      <pivotArea dataOnly="0" labelOnly="1" outline="0" fieldPosition="0">
        <references count="3">
          <reference field="2" count="1" selected="0">
            <x v="10"/>
          </reference>
          <reference field="3" count="1" selected="0">
            <x v="3"/>
          </reference>
          <reference field="5" count="0"/>
        </references>
      </pivotArea>
    </format>
    <format dxfId="83">
      <pivotArea dataOnly="0" labelOnly="1" outline="0" fieldPosition="0">
        <references count="3">
          <reference field="2" count="1" selected="0">
            <x v="11"/>
          </reference>
          <reference field="3" count="1" selected="0">
            <x v="0"/>
          </reference>
          <reference field="5" count="0"/>
        </references>
      </pivotArea>
    </format>
    <format dxfId="84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8F7E-9652-4345-AF89-6CEE1DA2B2A4}">
  <sheetPr>
    <pageSetUpPr fitToPage="1"/>
  </sheetPr>
  <dimension ref="B2:N63"/>
  <sheetViews>
    <sheetView tabSelected="1" topLeftCell="A19" workbookViewId="0">
      <selection activeCell="D25" sqref="D25"/>
    </sheetView>
  </sheetViews>
  <sheetFormatPr defaultRowHeight="15.75" x14ac:dyDescent="0.25"/>
  <cols>
    <col min="2" max="2" width="16.25" customWidth="1"/>
    <col min="3" max="3" width="19.625" customWidth="1"/>
    <col min="4" max="4" width="18.125" bestFit="1" customWidth="1"/>
    <col min="5" max="5" width="10" bestFit="1" customWidth="1"/>
    <col min="6" max="6" width="11.875" customWidth="1"/>
    <col min="7" max="7" width="9.25" customWidth="1"/>
    <col min="8" max="8" width="13.25" customWidth="1"/>
    <col min="9" max="9" width="21.875" customWidth="1"/>
    <col min="10" max="10" width="3.875" customWidth="1"/>
    <col min="11" max="11" width="20.25" customWidth="1"/>
    <col min="12" max="12" width="11.125" customWidth="1"/>
    <col min="13" max="13" width="9.25" bestFit="1" customWidth="1"/>
    <col min="14" max="14" width="5.25" bestFit="1" customWidth="1"/>
  </cols>
  <sheetData>
    <row r="2" spans="2:14" ht="20.25" x14ac:dyDescent="0.4">
      <c r="B2" s="1"/>
      <c r="C2" s="2"/>
      <c r="D2" s="2"/>
      <c r="E2" s="2"/>
      <c r="F2" s="3">
        <f>SUM(F4:F44)</f>
        <v>4687</v>
      </c>
      <c r="G2" s="2"/>
      <c r="H2" s="2"/>
      <c r="I2" s="4"/>
    </row>
    <row r="3" spans="2:14" ht="20.25" x14ac:dyDescent="0.4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</row>
    <row r="4" spans="2:14" ht="20.25" x14ac:dyDescent="0.4">
      <c r="B4" s="6"/>
      <c r="C4" s="6" t="s">
        <v>8</v>
      </c>
      <c r="D4" s="6" t="s">
        <v>9</v>
      </c>
      <c r="E4" s="6" t="s">
        <v>10</v>
      </c>
      <c r="F4" s="6">
        <v>109</v>
      </c>
      <c r="G4" s="6" t="s">
        <v>63</v>
      </c>
      <c r="H4" s="6" t="s">
        <v>11</v>
      </c>
      <c r="I4" s="6" t="s">
        <v>12</v>
      </c>
    </row>
    <row r="5" spans="2:14" ht="20.25" x14ac:dyDescent="0.4">
      <c r="B5" s="6"/>
      <c r="C5" s="6" t="s">
        <v>8</v>
      </c>
      <c r="D5" s="6" t="s">
        <v>9</v>
      </c>
      <c r="E5" s="6" t="s">
        <v>10</v>
      </c>
      <c r="F5" s="6">
        <v>112</v>
      </c>
      <c r="G5" s="6" t="s">
        <v>63</v>
      </c>
      <c r="H5" s="6" t="s">
        <v>11</v>
      </c>
      <c r="I5" s="6" t="s">
        <v>12</v>
      </c>
      <c r="K5" s="7" t="s">
        <v>61</v>
      </c>
      <c r="L5" s="8"/>
      <c r="M5" s="8"/>
      <c r="N5" s="8"/>
    </row>
    <row r="6" spans="2:14" ht="20.25" x14ac:dyDescent="0.4">
      <c r="B6" s="6"/>
      <c r="C6" s="6" t="s">
        <v>8</v>
      </c>
      <c r="D6" s="6" t="s">
        <v>9</v>
      </c>
      <c r="E6" s="6" t="s">
        <v>10</v>
      </c>
      <c r="F6" s="6">
        <v>136</v>
      </c>
      <c r="G6" s="6" t="s">
        <v>63</v>
      </c>
      <c r="H6" s="6" t="s">
        <v>11</v>
      </c>
      <c r="I6" s="6" t="s">
        <v>12</v>
      </c>
      <c r="K6" s="7" t="s">
        <v>2</v>
      </c>
      <c r="L6" s="7" t="s">
        <v>3</v>
      </c>
      <c r="M6" s="7" t="s">
        <v>5</v>
      </c>
      <c r="N6" s="8" t="s">
        <v>62</v>
      </c>
    </row>
    <row r="7" spans="2:14" ht="20.25" x14ac:dyDescent="0.4">
      <c r="B7" s="6" t="s">
        <v>13</v>
      </c>
      <c r="C7" s="6" t="s">
        <v>8</v>
      </c>
      <c r="D7" s="6" t="s">
        <v>14</v>
      </c>
      <c r="E7" s="6" t="s">
        <v>15</v>
      </c>
      <c r="F7" s="6">
        <v>115</v>
      </c>
      <c r="G7" s="6" t="s">
        <v>63</v>
      </c>
      <c r="H7" s="6" t="s">
        <v>11</v>
      </c>
      <c r="I7" s="6" t="s">
        <v>12</v>
      </c>
      <c r="K7" s="8" t="s">
        <v>9</v>
      </c>
      <c r="L7" s="8" t="s">
        <v>10</v>
      </c>
      <c r="M7" s="8" t="s">
        <v>63</v>
      </c>
      <c r="N7" s="9">
        <v>429</v>
      </c>
    </row>
    <row r="8" spans="2:14" ht="20.25" x14ac:dyDescent="0.4">
      <c r="B8" s="6" t="s">
        <v>16</v>
      </c>
      <c r="C8" s="6" t="s">
        <v>8</v>
      </c>
      <c r="D8" s="6" t="s">
        <v>14</v>
      </c>
      <c r="E8" s="6" t="s">
        <v>15</v>
      </c>
      <c r="F8" s="6">
        <v>113</v>
      </c>
      <c r="G8" s="6" t="s">
        <v>63</v>
      </c>
      <c r="H8" s="6" t="s">
        <v>11</v>
      </c>
      <c r="I8" s="6" t="s">
        <v>12</v>
      </c>
      <c r="K8" s="8" t="s">
        <v>25</v>
      </c>
      <c r="L8" s="8" t="s">
        <v>26</v>
      </c>
      <c r="M8" s="8" t="s">
        <v>63</v>
      </c>
      <c r="N8" s="9">
        <v>115</v>
      </c>
    </row>
    <row r="9" spans="2:14" ht="20.25" x14ac:dyDescent="0.4">
      <c r="B9" s="6" t="s">
        <v>17</v>
      </c>
      <c r="C9" s="6" t="s">
        <v>8</v>
      </c>
      <c r="D9" s="6" t="s">
        <v>14</v>
      </c>
      <c r="E9" s="6" t="s">
        <v>15</v>
      </c>
      <c r="F9" s="6">
        <v>114</v>
      </c>
      <c r="G9" s="6" t="s">
        <v>63</v>
      </c>
      <c r="H9" s="6" t="s">
        <v>11</v>
      </c>
      <c r="I9" s="6" t="s">
        <v>12</v>
      </c>
      <c r="K9" s="8" t="s">
        <v>27</v>
      </c>
      <c r="L9" s="8" t="s">
        <v>28</v>
      </c>
      <c r="M9" s="8" t="s">
        <v>63</v>
      </c>
      <c r="N9" s="9">
        <v>221</v>
      </c>
    </row>
    <row r="10" spans="2:14" ht="20.25" x14ac:dyDescent="0.4">
      <c r="B10" s="6" t="s">
        <v>18</v>
      </c>
      <c r="C10" s="6" t="s">
        <v>8</v>
      </c>
      <c r="D10" s="6" t="s">
        <v>14</v>
      </c>
      <c r="E10" s="6" t="s">
        <v>15</v>
      </c>
      <c r="F10" s="6">
        <v>117</v>
      </c>
      <c r="G10" s="6" t="s">
        <v>63</v>
      </c>
      <c r="H10" s="6" t="s">
        <v>11</v>
      </c>
      <c r="I10" s="6" t="s">
        <v>12</v>
      </c>
      <c r="K10" s="8" t="s">
        <v>55</v>
      </c>
      <c r="L10" s="8">
        <v>809</v>
      </c>
      <c r="M10" s="8" t="s">
        <v>63</v>
      </c>
      <c r="N10" s="9">
        <v>116</v>
      </c>
    </row>
    <row r="11" spans="2:14" ht="20.25" x14ac:dyDescent="0.4">
      <c r="B11" s="6" t="s">
        <v>19</v>
      </c>
      <c r="C11" s="6" t="s">
        <v>8</v>
      </c>
      <c r="D11" s="6" t="s">
        <v>14</v>
      </c>
      <c r="E11" s="6" t="s">
        <v>15</v>
      </c>
      <c r="F11" s="6">
        <v>116</v>
      </c>
      <c r="G11" s="6" t="s">
        <v>63</v>
      </c>
      <c r="H11" s="6" t="s">
        <v>11</v>
      </c>
      <c r="I11" s="6" t="s">
        <v>12</v>
      </c>
      <c r="K11" s="8" t="s">
        <v>22</v>
      </c>
      <c r="L11" s="8" t="s">
        <v>23</v>
      </c>
      <c r="M11" s="8" t="s">
        <v>63</v>
      </c>
      <c r="N11" s="9">
        <v>236</v>
      </c>
    </row>
    <row r="12" spans="2:14" ht="20.25" x14ac:dyDescent="0.4">
      <c r="B12" s="6" t="s">
        <v>20</v>
      </c>
      <c r="C12" s="6" t="s">
        <v>8</v>
      </c>
      <c r="D12" s="6" t="s">
        <v>14</v>
      </c>
      <c r="E12" s="6" t="s">
        <v>15</v>
      </c>
      <c r="F12" s="6">
        <v>118</v>
      </c>
      <c r="G12" s="6" t="s">
        <v>63</v>
      </c>
      <c r="H12" s="6" t="s">
        <v>11</v>
      </c>
      <c r="I12" s="6" t="s">
        <v>12</v>
      </c>
      <c r="K12" s="8" t="s">
        <v>40</v>
      </c>
      <c r="L12" s="8" t="s">
        <v>41</v>
      </c>
      <c r="M12" s="8" t="s">
        <v>63</v>
      </c>
      <c r="N12" s="9">
        <v>580</v>
      </c>
    </row>
    <row r="13" spans="2:14" ht="20.25" x14ac:dyDescent="0.4">
      <c r="B13" s="6" t="s">
        <v>21</v>
      </c>
      <c r="C13" s="6" t="s">
        <v>8</v>
      </c>
      <c r="D13" s="6" t="s">
        <v>14</v>
      </c>
      <c r="E13" s="6" t="s">
        <v>15</v>
      </c>
      <c r="F13" s="6">
        <v>112</v>
      </c>
      <c r="G13" s="6" t="s">
        <v>63</v>
      </c>
      <c r="H13" s="6" t="s">
        <v>11</v>
      </c>
      <c r="I13" s="6" t="s">
        <v>12</v>
      </c>
      <c r="K13" s="8" t="s">
        <v>14</v>
      </c>
      <c r="L13" s="8" t="s">
        <v>15</v>
      </c>
      <c r="M13" s="8" t="s">
        <v>63</v>
      </c>
      <c r="N13" s="9">
        <v>934</v>
      </c>
    </row>
    <row r="14" spans="2:14" ht="20.25" x14ac:dyDescent="0.4">
      <c r="B14" s="6"/>
      <c r="C14" s="6" t="s">
        <v>8</v>
      </c>
      <c r="D14" s="6" t="s">
        <v>9</v>
      </c>
      <c r="E14" s="6" t="s">
        <v>10</v>
      </c>
      <c r="F14" s="6">
        <v>72</v>
      </c>
      <c r="G14" s="6" t="s">
        <v>63</v>
      </c>
      <c r="H14" s="6" t="s">
        <v>11</v>
      </c>
      <c r="I14" s="6" t="s">
        <v>12</v>
      </c>
      <c r="K14" s="8" t="s">
        <v>57</v>
      </c>
      <c r="L14" s="8">
        <v>818</v>
      </c>
      <c r="M14" s="8" t="s">
        <v>63</v>
      </c>
      <c r="N14" s="9">
        <v>117</v>
      </c>
    </row>
    <row r="15" spans="2:14" ht="20.25" x14ac:dyDescent="0.4">
      <c r="B15" s="6"/>
      <c r="C15" s="6" t="s">
        <v>8</v>
      </c>
      <c r="D15" s="6" t="s">
        <v>22</v>
      </c>
      <c r="E15" s="6" t="s">
        <v>23</v>
      </c>
      <c r="F15" s="6">
        <v>119</v>
      </c>
      <c r="G15" s="6" t="s">
        <v>63</v>
      </c>
      <c r="H15" s="6" t="s">
        <v>11</v>
      </c>
      <c r="I15" s="6" t="s">
        <v>12</v>
      </c>
      <c r="K15" s="8" t="s">
        <v>30</v>
      </c>
      <c r="L15" s="8" t="s">
        <v>31</v>
      </c>
      <c r="M15" s="8" t="s">
        <v>63</v>
      </c>
      <c r="N15" s="9">
        <v>104</v>
      </c>
    </row>
    <row r="16" spans="2:14" ht="20.25" x14ac:dyDescent="0.4">
      <c r="B16" s="6" t="s">
        <v>24</v>
      </c>
      <c r="C16" s="6" t="s">
        <v>8</v>
      </c>
      <c r="D16" s="6" t="s">
        <v>25</v>
      </c>
      <c r="E16" s="6" t="s">
        <v>26</v>
      </c>
      <c r="F16" s="6">
        <v>115</v>
      </c>
      <c r="G16" s="6" t="s">
        <v>63</v>
      </c>
      <c r="H16" s="6" t="s">
        <v>11</v>
      </c>
      <c r="I16" s="6" t="s">
        <v>12</v>
      </c>
      <c r="K16" s="8" t="s">
        <v>47</v>
      </c>
      <c r="L16" s="8" t="s">
        <v>48</v>
      </c>
      <c r="M16" s="8" t="s">
        <v>63</v>
      </c>
      <c r="N16" s="9">
        <v>1156</v>
      </c>
    </row>
    <row r="17" spans="2:14" ht="20.25" x14ac:dyDescent="0.4">
      <c r="B17" s="6"/>
      <c r="C17" s="6" t="s">
        <v>8</v>
      </c>
      <c r="D17" s="6" t="s">
        <v>27</v>
      </c>
      <c r="E17" s="6" t="s">
        <v>28</v>
      </c>
      <c r="F17" s="6">
        <v>97</v>
      </c>
      <c r="G17" s="6" t="s">
        <v>63</v>
      </c>
      <c r="H17" s="6" t="s">
        <v>11</v>
      </c>
      <c r="I17" s="6" t="s">
        <v>12</v>
      </c>
      <c r="K17" s="8" t="s">
        <v>34</v>
      </c>
      <c r="L17" s="8" t="s">
        <v>35</v>
      </c>
      <c r="M17" s="8" t="s">
        <v>63</v>
      </c>
      <c r="N17" s="9">
        <v>460</v>
      </c>
    </row>
    <row r="18" spans="2:14" ht="20.25" x14ac:dyDescent="0.4">
      <c r="B18" s="6" t="s">
        <v>29</v>
      </c>
      <c r="C18" s="6" t="s">
        <v>8</v>
      </c>
      <c r="D18" s="6" t="s">
        <v>22</v>
      </c>
      <c r="E18" s="6" t="s">
        <v>23</v>
      </c>
      <c r="F18" s="6">
        <v>117</v>
      </c>
      <c r="G18" s="6" t="s">
        <v>63</v>
      </c>
      <c r="H18" s="6" t="s">
        <v>11</v>
      </c>
      <c r="I18" s="6" t="s">
        <v>12</v>
      </c>
      <c r="K18" s="8" t="s">
        <v>59</v>
      </c>
      <c r="L18" s="8">
        <v>62</v>
      </c>
      <c r="M18" s="8" t="s">
        <v>63</v>
      </c>
      <c r="N18" s="9">
        <v>115</v>
      </c>
    </row>
    <row r="19" spans="2:14" ht="20.25" x14ac:dyDescent="0.4">
      <c r="B19" s="6"/>
      <c r="C19" s="6" t="s">
        <v>8</v>
      </c>
      <c r="D19" s="6" t="s">
        <v>30</v>
      </c>
      <c r="E19" s="6" t="s">
        <v>31</v>
      </c>
      <c r="F19" s="6">
        <v>104</v>
      </c>
      <c r="G19" s="6" t="s">
        <v>63</v>
      </c>
      <c r="H19" s="6" t="s">
        <v>11</v>
      </c>
      <c r="I19" s="6" t="s">
        <v>12</v>
      </c>
      <c r="K19" s="8" t="s">
        <v>68</v>
      </c>
      <c r="L19" s="8">
        <v>819</v>
      </c>
      <c r="M19" s="8" t="s">
        <v>63</v>
      </c>
      <c r="N19" s="9">
        <v>104</v>
      </c>
    </row>
    <row r="20" spans="2:14" ht="20.25" x14ac:dyDescent="0.4">
      <c r="B20" s="6" t="s">
        <v>32</v>
      </c>
      <c r="C20" s="6" t="s">
        <v>8</v>
      </c>
      <c r="D20" s="6" t="s">
        <v>14</v>
      </c>
      <c r="E20" s="6" t="s">
        <v>15</v>
      </c>
      <c r="F20" s="6">
        <v>129</v>
      </c>
      <c r="G20" s="6" t="s">
        <v>63</v>
      </c>
      <c r="H20" s="6" t="s">
        <v>11</v>
      </c>
      <c r="I20" s="6" t="s">
        <v>12</v>
      </c>
      <c r="K20" s="8" t="s">
        <v>60</v>
      </c>
      <c r="L20" s="8"/>
      <c r="M20" s="8"/>
      <c r="N20" s="9">
        <v>4687</v>
      </c>
    </row>
    <row r="21" spans="2:14" ht="20.25" x14ac:dyDescent="0.4">
      <c r="B21" s="6"/>
      <c r="C21" s="6" t="s">
        <v>8</v>
      </c>
      <c r="D21" s="6" t="s">
        <v>27</v>
      </c>
      <c r="E21" s="6" t="s">
        <v>28</v>
      </c>
      <c r="F21" s="6">
        <v>124</v>
      </c>
      <c r="G21" s="6" t="s">
        <v>63</v>
      </c>
      <c r="H21" s="6" t="s">
        <v>11</v>
      </c>
      <c r="I21" s="6" t="s">
        <v>12</v>
      </c>
    </row>
    <row r="22" spans="2:14" ht="20.25" x14ac:dyDescent="0.4">
      <c r="B22" s="6" t="s">
        <v>33</v>
      </c>
      <c r="C22" s="6" t="s">
        <v>8</v>
      </c>
      <c r="D22" s="6" t="s">
        <v>34</v>
      </c>
      <c r="E22" s="6" t="s">
        <v>35</v>
      </c>
      <c r="F22" s="6">
        <v>112</v>
      </c>
      <c r="G22" s="6" t="s">
        <v>63</v>
      </c>
      <c r="H22" s="6" t="s">
        <v>11</v>
      </c>
      <c r="I22" s="6" t="s">
        <v>12</v>
      </c>
    </row>
    <row r="23" spans="2:14" ht="20.25" x14ac:dyDescent="0.4">
      <c r="B23" s="6" t="s">
        <v>36</v>
      </c>
      <c r="C23" s="6" t="s">
        <v>8</v>
      </c>
      <c r="D23" s="6" t="s">
        <v>34</v>
      </c>
      <c r="E23" s="6" t="s">
        <v>35</v>
      </c>
      <c r="F23" s="6">
        <v>108</v>
      </c>
      <c r="G23" s="6" t="s">
        <v>63</v>
      </c>
      <c r="H23" s="6" t="s">
        <v>11</v>
      </c>
      <c r="I23" s="6" t="s">
        <v>12</v>
      </c>
    </row>
    <row r="24" spans="2:14" ht="20.25" x14ac:dyDescent="0.4">
      <c r="B24" s="6" t="s">
        <v>37</v>
      </c>
      <c r="C24" s="6" t="s">
        <v>8</v>
      </c>
      <c r="D24" s="6" t="s">
        <v>34</v>
      </c>
      <c r="E24" s="6" t="s">
        <v>35</v>
      </c>
      <c r="F24" s="6">
        <v>123</v>
      </c>
      <c r="G24" s="6" t="s">
        <v>63</v>
      </c>
      <c r="H24" s="6" t="s">
        <v>11</v>
      </c>
      <c r="I24" s="6" t="s">
        <v>12</v>
      </c>
    </row>
    <row r="25" spans="2:14" ht="20.25" x14ac:dyDescent="0.4">
      <c r="B25" s="6" t="s">
        <v>38</v>
      </c>
      <c r="C25" s="6" t="s">
        <v>8</v>
      </c>
      <c r="D25" s="6" t="s">
        <v>34</v>
      </c>
      <c r="E25" s="6" t="s">
        <v>35</v>
      </c>
      <c r="F25" s="6">
        <v>117</v>
      </c>
      <c r="G25" s="6" t="s">
        <v>63</v>
      </c>
      <c r="H25" s="6" t="s">
        <v>11</v>
      </c>
      <c r="I25" s="6" t="s">
        <v>12</v>
      </c>
    </row>
    <row r="26" spans="2:14" ht="20.25" x14ac:dyDescent="0.4">
      <c r="B26" s="6" t="s">
        <v>39</v>
      </c>
      <c r="C26" s="6" t="s">
        <v>8</v>
      </c>
      <c r="D26" s="6" t="s">
        <v>40</v>
      </c>
      <c r="E26" s="6" t="s">
        <v>41</v>
      </c>
      <c r="F26" s="6">
        <v>113</v>
      </c>
      <c r="G26" s="6" t="s">
        <v>63</v>
      </c>
      <c r="H26" s="6" t="s">
        <v>11</v>
      </c>
      <c r="I26" s="6" t="s">
        <v>12</v>
      </c>
    </row>
    <row r="27" spans="2:14" ht="20.25" x14ac:dyDescent="0.4">
      <c r="B27" s="6" t="s">
        <v>42</v>
      </c>
      <c r="C27" s="6" t="s">
        <v>8</v>
      </c>
      <c r="D27" s="6" t="s">
        <v>40</v>
      </c>
      <c r="E27" s="6" t="s">
        <v>41</v>
      </c>
      <c r="F27" s="6">
        <v>117</v>
      </c>
      <c r="G27" s="6" t="s">
        <v>63</v>
      </c>
      <c r="H27" s="6" t="s">
        <v>11</v>
      </c>
      <c r="I27" s="6" t="s">
        <v>12</v>
      </c>
    </row>
    <row r="28" spans="2:14" ht="20.25" x14ac:dyDescent="0.4">
      <c r="B28" s="6" t="s">
        <v>43</v>
      </c>
      <c r="C28" s="6" t="s">
        <v>8</v>
      </c>
      <c r="D28" s="6" t="s">
        <v>40</v>
      </c>
      <c r="E28" s="6" t="s">
        <v>41</v>
      </c>
      <c r="F28" s="6">
        <v>115</v>
      </c>
      <c r="G28" s="6" t="s">
        <v>63</v>
      </c>
      <c r="H28" s="6" t="s">
        <v>11</v>
      </c>
      <c r="I28" s="6" t="s">
        <v>12</v>
      </c>
    </row>
    <row r="29" spans="2:14" ht="20.25" x14ac:dyDescent="0.4">
      <c r="B29" s="6" t="s">
        <v>44</v>
      </c>
      <c r="C29" s="6" t="s">
        <v>8</v>
      </c>
      <c r="D29" s="6" t="s">
        <v>40</v>
      </c>
      <c r="E29" s="6" t="s">
        <v>41</v>
      </c>
      <c r="F29" s="6">
        <v>118</v>
      </c>
      <c r="G29" s="6" t="s">
        <v>63</v>
      </c>
      <c r="H29" s="6" t="s">
        <v>11</v>
      </c>
      <c r="I29" s="6" t="s">
        <v>12</v>
      </c>
    </row>
    <row r="30" spans="2:14" ht="20.25" x14ac:dyDescent="0.4">
      <c r="B30" s="6" t="s">
        <v>45</v>
      </c>
      <c r="C30" s="6" t="s">
        <v>8</v>
      </c>
      <c r="D30" s="6" t="s">
        <v>40</v>
      </c>
      <c r="E30" s="6" t="s">
        <v>41</v>
      </c>
      <c r="F30" s="6">
        <v>117</v>
      </c>
      <c r="G30" s="6" t="s">
        <v>63</v>
      </c>
      <c r="H30" s="6" t="s">
        <v>11</v>
      </c>
      <c r="I30" s="6" t="s">
        <v>12</v>
      </c>
    </row>
    <row r="31" spans="2:14" ht="20.25" x14ac:dyDescent="0.4">
      <c r="B31" s="6" t="s">
        <v>46</v>
      </c>
      <c r="C31" s="6" t="s">
        <v>8</v>
      </c>
      <c r="D31" s="6" t="s">
        <v>47</v>
      </c>
      <c r="E31" s="6" t="s">
        <v>48</v>
      </c>
      <c r="F31" s="6">
        <v>115</v>
      </c>
      <c r="G31" s="6" t="s">
        <v>63</v>
      </c>
      <c r="H31" s="6" t="s">
        <v>11</v>
      </c>
      <c r="I31" s="6" t="s">
        <v>12</v>
      </c>
    </row>
    <row r="32" spans="2:14" ht="20.25" x14ac:dyDescent="0.4">
      <c r="B32" s="6" t="s">
        <v>49</v>
      </c>
      <c r="C32" s="6" t="s">
        <v>8</v>
      </c>
      <c r="D32" s="6" t="s">
        <v>47</v>
      </c>
      <c r="E32" s="6" t="s">
        <v>48</v>
      </c>
      <c r="F32" s="6">
        <v>120</v>
      </c>
      <c r="G32" s="6" t="s">
        <v>63</v>
      </c>
      <c r="H32" s="6" t="s">
        <v>11</v>
      </c>
      <c r="I32" s="6" t="s">
        <v>12</v>
      </c>
    </row>
    <row r="33" spans="2:14" ht="20.25" x14ac:dyDescent="0.4">
      <c r="B33" s="6" t="s">
        <v>50</v>
      </c>
      <c r="C33" s="6" t="s">
        <v>8</v>
      </c>
      <c r="D33" s="6" t="s">
        <v>47</v>
      </c>
      <c r="E33" s="6" t="s">
        <v>48</v>
      </c>
      <c r="F33" s="6">
        <v>112</v>
      </c>
      <c r="G33" s="6" t="s">
        <v>63</v>
      </c>
      <c r="H33" s="6" t="s">
        <v>11</v>
      </c>
      <c r="I33" s="6" t="s">
        <v>12</v>
      </c>
    </row>
    <row r="34" spans="2:14" ht="20.25" x14ac:dyDescent="0.4">
      <c r="B34" s="6" t="s">
        <v>51</v>
      </c>
      <c r="C34" s="6" t="s">
        <v>8</v>
      </c>
      <c r="D34" s="6" t="s">
        <v>47</v>
      </c>
      <c r="E34" s="6" t="s">
        <v>48</v>
      </c>
      <c r="F34" s="6">
        <v>120</v>
      </c>
      <c r="G34" s="6" t="s">
        <v>63</v>
      </c>
      <c r="H34" s="6" t="s">
        <v>11</v>
      </c>
      <c r="I34" s="6" t="s">
        <v>12</v>
      </c>
    </row>
    <row r="35" spans="2:14" ht="20.25" x14ac:dyDescent="0.4">
      <c r="B35" s="6" t="s">
        <v>52</v>
      </c>
      <c r="C35" s="6" t="s">
        <v>8</v>
      </c>
      <c r="D35" s="6" t="s">
        <v>47</v>
      </c>
      <c r="E35" s="6" t="s">
        <v>48</v>
      </c>
      <c r="F35" s="6">
        <v>116</v>
      </c>
      <c r="G35" s="6" t="s">
        <v>63</v>
      </c>
      <c r="H35" s="6" t="s">
        <v>11</v>
      </c>
      <c r="I35" s="6" t="s">
        <v>12</v>
      </c>
    </row>
    <row r="36" spans="2:14" ht="20.25" x14ac:dyDescent="0.4">
      <c r="B36" s="6" t="s">
        <v>53</v>
      </c>
      <c r="C36" s="6" t="s">
        <v>8</v>
      </c>
      <c r="D36" s="6" t="s">
        <v>47</v>
      </c>
      <c r="E36" s="6" t="s">
        <v>48</v>
      </c>
      <c r="F36" s="6">
        <v>111</v>
      </c>
      <c r="G36" s="6" t="s">
        <v>63</v>
      </c>
      <c r="H36" s="6" t="s">
        <v>11</v>
      </c>
      <c r="I36" s="6" t="s">
        <v>12</v>
      </c>
    </row>
    <row r="37" spans="2:14" ht="20.25" x14ac:dyDescent="0.4">
      <c r="B37" s="6" t="s">
        <v>54</v>
      </c>
      <c r="C37" s="6" t="s">
        <v>8</v>
      </c>
      <c r="D37" s="6" t="s">
        <v>47</v>
      </c>
      <c r="E37" s="6" t="s">
        <v>48</v>
      </c>
      <c r="F37" s="6">
        <v>113</v>
      </c>
      <c r="G37" s="6" t="s">
        <v>63</v>
      </c>
      <c r="H37" s="6" t="s">
        <v>11</v>
      </c>
      <c r="I37" s="6" t="s">
        <v>12</v>
      </c>
    </row>
    <row r="38" spans="2:14" ht="20.25" x14ac:dyDescent="0.4">
      <c r="B38" s="6"/>
      <c r="C38" s="6" t="s">
        <v>8</v>
      </c>
      <c r="D38" s="6" t="s">
        <v>55</v>
      </c>
      <c r="E38" s="6">
        <v>809</v>
      </c>
      <c r="F38" s="6">
        <v>116</v>
      </c>
      <c r="G38" s="6" t="s">
        <v>63</v>
      </c>
      <c r="H38" s="6" t="s">
        <v>11</v>
      </c>
      <c r="I38" s="6" t="s">
        <v>12</v>
      </c>
    </row>
    <row r="39" spans="2:14" ht="20.25" x14ac:dyDescent="0.4">
      <c r="B39" s="6" t="s">
        <v>56</v>
      </c>
      <c r="C39" s="6" t="s">
        <v>8</v>
      </c>
      <c r="D39" s="6" t="s">
        <v>57</v>
      </c>
      <c r="E39" s="6">
        <v>818</v>
      </c>
      <c r="F39" s="6">
        <v>117</v>
      </c>
      <c r="G39" s="6" t="s">
        <v>63</v>
      </c>
      <c r="H39" s="6" t="s">
        <v>11</v>
      </c>
      <c r="I39" s="6" t="s">
        <v>12</v>
      </c>
    </row>
    <row r="40" spans="2:14" ht="20.25" x14ac:dyDescent="0.4">
      <c r="B40" s="6" t="s">
        <v>58</v>
      </c>
      <c r="C40" s="6" t="s">
        <v>8</v>
      </c>
      <c r="D40" s="6" t="s">
        <v>47</v>
      </c>
      <c r="E40" s="6" t="s">
        <v>48</v>
      </c>
      <c r="F40" s="6">
        <v>119</v>
      </c>
      <c r="G40" s="6" t="s">
        <v>63</v>
      </c>
      <c r="H40" s="6" t="s">
        <v>11</v>
      </c>
      <c r="I40" s="6" t="s">
        <v>12</v>
      </c>
    </row>
    <row r="41" spans="2:14" ht="20.25" x14ac:dyDescent="0.4">
      <c r="B41" s="6" t="s">
        <v>58</v>
      </c>
      <c r="C41" s="6" t="s">
        <v>8</v>
      </c>
      <c r="D41" s="6" t="s">
        <v>47</v>
      </c>
      <c r="E41" s="6" t="s">
        <v>48</v>
      </c>
      <c r="F41" s="6">
        <v>114</v>
      </c>
      <c r="G41" s="6" t="s">
        <v>63</v>
      </c>
      <c r="H41" s="6" t="s">
        <v>11</v>
      </c>
      <c r="I41" s="6" t="s">
        <v>12</v>
      </c>
    </row>
    <row r="42" spans="2:14" ht="20.25" x14ac:dyDescent="0.4">
      <c r="B42" s="6" t="s">
        <v>58</v>
      </c>
      <c r="C42" s="6" t="s">
        <v>8</v>
      </c>
      <c r="D42" s="6" t="s">
        <v>47</v>
      </c>
      <c r="E42" s="6" t="s">
        <v>48</v>
      </c>
      <c r="F42" s="6">
        <v>116</v>
      </c>
      <c r="G42" s="6" t="s">
        <v>63</v>
      </c>
      <c r="H42" s="6" t="s">
        <v>11</v>
      </c>
      <c r="I42" s="6" t="s">
        <v>12</v>
      </c>
    </row>
    <row r="43" spans="2:14" ht="20.25" x14ac:dyDescent="0.4">
      <c r="B43" s="6">
        <v>774</v>
      </c>
      <c r="C43" s="6" t="s">
        <v>8</v>
      </c>
      <c r="D43" s="6" t="s">
        <v>68</v>
      </c>
      <c r="E43" s="6">
        <v>819</v>
      </c>
      <c r="F43" s="6">
        <v>104</v>
      </c>
      <c r="G43" s="6" t="s">
        <v>63</v>
      </c>
      <c r="H43" s="6" t="s">
        <v>11</v>
      </c>
      <c r="I43" s="6" t="s">
        <v>12</v>
      </c>
    </row>
    <row r="44" spans="2:14" ht="20.25" x14ac:dyDescent="0.4">
      <c r="B44" s="6">
        <v>194</v>
      </c>
      <c r="C44" s="6" t="s">
        <v>8</v>
      </c>
      <c r="D44" s="6"/>
      <c r="E44" s="6">
        <v>62</v>
      </c>
      <c r="F44" s="6">
        <v>115</v>
      </c>
      <c r="G44" s="6" t="s">
        <v>63</v>
      </c>
      <c r="H44" s="6" t="s">
        <v>11</v>
      </c>
      <c r="I44" s="6" t="s">
        <v>12</v>
      </c>
    </row>
    <row r="47" spans="2:14" ht="20.25" x14ac:dyDescent="0.4">
      <c r="B47" s="1"/>
      <c r="C47" s="2"/>
      <c r="D47" s="2"/>
      <c r="E47" s="2"/>
      <c r="F47" s="3">
        <f>SUM(F49:F98)</f>
        <v>1688</v>
      </c>
      <c r="G47" s="2"/>
      <c r="H47" s="2"/>
      <c r="I47" s="4"/>
      <c r="K47" s="7" t="s">
        <v>61</v>
      </c>
      <c r="L47" s="8"/>
      <c r="M47" s="8"/>
      <c r="N47" s="8"/>
    </row>
    <row r="48" spans="2:14" ht="20.25" x14ac:dyDescent="0.4">
      <c r="B48" s="5" t="s">
        <v>0</v>
      </c>
      <c r="C48" s="5" t="s">
        <v>1</v>
      </c>
      <c r="D48" s="5" t="s">
        <v>2</v>
      </c>
      <c r="E48" s="5" t="s">
        <v>3</v>
      </c>
      <c r="F48" s="5" t="s">
        <v>4</v>
      </c>
      <c r="G48" s="5" t="s">
        <v>5</v>
      </c>
      <c r="H48" s="5" t="s">
        <v>6</v>
      </c>
      <c r="I48" s="5" t="s">
        <v>7</v>
      </c>
      <c r="K48" s="7" t="s">
        <v>2</v>
      </c>
      <c r="L48" s="7" t="s">
        <v>3</v>
      </c>
      <c r="M48" s="7" t="s">
        <v>5</v>
      </c>
      <c r="N48" s="8" t="s">
        <v>62</v>
      </c>
    </row>
    <row r="49" spans="2:14" ht="20.25" x14ac:dyDescent="0.4">
      <c r="B49" s="6">
        <v>208</v>
      </c>
      <c r="C49" s="6" t="s">
        <v>8</v>
      </c>
      <c r="D49" s="6" t="s">
        <v>64</v>
      </c>
      <c r="E49" s="6">
        <v>880</v>
      </c>
      <c r="F49" s="6">
        <v>99</v>
      </c>
      <c r="G49" s="6" t="s">
        <v>63</v>
      </c>
      <c r="H49" s="6" t="s">
        <v>11</v>
      </c>
      <c r="I49" s="6" t="s">
        <v>12</v>
      </c>
      <c r="K49" s="8" t="s">
        <v>66</v>
      </c>
      <c r="L49" s="8">
        <v>931</v>
      </c>
      <c r="M49" s="8" t="s">
        <v>63</v>
      </c>
      <c r="N49" s="9">
        <v>343</v>
      </c>
    </row>
    <row r="50" spans="2:14" ht="20.25" x14ac:dyDescent="0.4">
      <c r="B50" s="6">
        <v>205</v>
      </c>
      <c r="C50" s="6" t="s">
        <v>8</v>
      </c>
      <c r="D50" s="6" t="s">
        <v>64</v>
      </c>
      <c r="E50" s="6">
        <v>880</v>
      </c>
      <c r="F50" s="6">
        <v>104</v>
      </c>
      <c r="G50" s="6" t="s">
        <v>63</v>
      </c>
      <c r="H50" s="6" t="s">
        <v>11</v>
      </c>
      <c r="I50" s="6" t="s">
        <v>12</v>
      </c>
      <c r="K50" s="8" t="s">
        <v>55</v>
      </c>
      <c r="L50" s="8">
        <v>809</v>
      </c>
      <c r="M50" s="8" t="s">
        <v>63</v>
      </c>
      <c r="N50" s="9">
        <v>356</v>
      </c>
    </row>
    <row r="51" spans="2:14" ht="20.25" x14ac:dyDescent="0.4">
      <c r="B51" s="6">
        <v>201</v>
      </c>
      <c r="C51" s="6" t="s">
        <v>8</v>
      </c>
      <c r="D51" s="6" t="s">
        <v>64</v>
      </c>
      <c r="E51" s="6">
        <v>880</v>
      </c>
      <c r="F51" s="6">
        <v>106</v>
      </c>
      <c r="G51" s="6" t="s">
        <v>63</v>
      </c>
      <c r="H51" s="6" t="s">
        <v>11</v>
      </c>
      <c r="I51" s="6" t="s">
        <v>12</v>
      </c>
      <c r="K51" s="8" t="s">
        <v>67</v>
      </c>
      <c r="L51" s="8">
        <v>841</v>
      </c>
      <c r="M51" s="8" t="s">
        <v>63</v>
      </c>
      <c r="N51" s="9">
        <v>340</v>
      </c>
    </row>
    <row r="52" spans="2:14" ht="20.25" x14ac:dyDescent="0.4">
      <c r="B52" s="6">
        <v>100</v>
      </c>
      <c r="C52" s="6" t="s">
        <v>8</v>
      </c>
      <c r="D52" s="6" t="s">
        <v>65</v>
      </c>
      <c r="E52" s="6">
        <v>835</v>
      </c>
      <c r="F52" s="6">
        <v>113</v>
      </c>
      <c r="G52" s="6" t="s">
        <v>63</v>
      </c>
      <c r="H52" s="6" t="s">
        <v>11</v>
      </c>
      <c r="I52" s="6" t="s">
        <v>12</v>
      </c>
      <c r="K52" s="8" t="s">
        <v>64</v>
      </c>
      <c r="L52" s="8">
        <v>880</v>
      </c>
      <c r="M52" s="8" t="s">
        <v>63</v>
      </c>
      <c r="N52" s="9">
        <v>309</v>
      </c>
    </row>
    <row r="53" spans="2:14" ht="20.25" x14ac:dyDescent="0.4">
      <c r="B53" s="6">
        <v>108</v>
      </c>
      <c r="C53" s="6" t="s">
        <v>8</v>
      </c>
      <c r="D53" s="6" t="s">
        <v>65</v>
      </c>
      <c r="E53" s="6">
        <v>835</v>
      </c>
      <c r="F53" s="6">
        <v>114</v>
      </c>
      <c r="G53" s="6" t="s">
        <v>63</v>
      </c>
      <c r="H53" s="6" t="s">
        <v>11</v>
      </c>
      <c r="I53" s="6" t="s">
        <v>12</v>
      </c>
      <c r="K53" s="8" t="s">
        <v>65</v>
      </c>
      <c r="L53" s="8">
        <v>835</v>
      </c>
      <c r="M53" s="8" t="s">
        <v>63</v>
      </c>
      <c r="N53" s="9">
        <v>340</v>
      </c>
    </row>
    <row r="54" spans="2:14" ht="20.25" x14ac:dyDescent="0.4">
      <c r="B54" s="6">
        <v>105</v>
      </c>
      <c r="C54" s="6" t="s">
        <v>8</v>
      </c>
      <c r="D54" s="6" t="s">
        <v>65</v>
      </c>
      <c r="E54" s="6">
        <v>835</v>
      </c>
      <c r="F54" s="6">
        <v>113</v>
      </c>
      <c r="G54" s="6" t="s">
        <v>63</v>
      </c>
      <c r="H54" s="6" t="s">
        <v>11</v>
      </c>
      <c r="I54" s="6" t="s">
        <v>12</v>
      </c>
      <c r="K54" s="8" t="s">
        <v>60</v>
      </c>
      <c r="L54" s="8"/>
      <c r="M54" s="8"/>
      <c r="N54" s="9">
        <v>1688</v>
      </c>
    </row>
    <row r="55" spans="2:14" ht="20.25" x14ac:dyDescent="0.4">
      <c r="B55" s="6">
        <v>420</v>
      </c>
      <c r="C55" s="6" t="s">
        <v>8</v>
      </c>
      <c r="D55" s="6" t="s">
        <v>66</v>
      </c>
      <c r="E55" s="6">
        <v>931</v>
      </c>
      <c r="F55" s="6">
        <v>112</v>
      </c>
      <c r="G55" s="6" t="s">
        <v>63</v>
      </c>
      <c r="H55" s="6" t="s">
        <v>11</v>
      </c>
      <c r="I55" s="6" t="s">
        <v>12</v>
      </c>
    </row>
    <row r="56" spans="2:14" ht="20.25" x14ac:dyDescent="0.4">
      <c r="B56" s="6">
        <v>152</v>
      </c>
      <c r="C56" s="6" t="s">
        <v>8</v>
      </c>
      <c r="D56" s="6" t="s">
        <v>66</v>
      </c>
      <c r="E56" s="6">
        <v>931</v>
      </c>
      <c r="F56" s="6">
        <v>115</v>
      </c>
      <c r="G56" s="6" t="s">
        <v>63</v>
      </c>
      <c r="H56" s="6" t="s">
        <v>11</v>
      </c>
      <c r="I56" s="6" t="s">
        <v>12</v>
      </c>
    </row>
    <row r="57" spans="2:14" ht="20.25" x14ac:dyDescent="0.4">
      <c r="B57" s="6">
        <v>322</v>
      </c>
      <c r="C57" s="6" t="s">
        <v>8</v>
      </c>
      <c r="D57" s="6" t="s">
        <v>66</v>
      </c>
      <c r="E57" s="6">
        <v>931</v>
      </c>
      <c r="F57" s="6">
        <v>116</v>
      </c>
      <c r="G57" s="6" t="s">
        <v>63</v>
      </c>
      <c r="H57" s="6" t="s">
        <v>11</v>
      </c>
      <c r="I57" s="6" t="s">
        <v>12</v>
      </c>
    </row>
    <row r="58" spans="2:14" ht="20.25" x14ac:dyDescent="0.4">
      <c r="B58" s="6">
        <v>251</v>
      </c>
      <c r="C58" s="6" t="s">
        <v>8</v>
      </c>
      <c r="D58" s="6" t="s">
        <v>67</v>
      </c>
      <c r="E58" s="6">
        <v>841</v>
      </c>
      <c r="F58" s="6">
        <v>119</v>
      </c>
      <c r="G58" s="6" t="s">
        <v>63</v>
      </c>
      <c r="H58" s="6" t="s">
        <v>11</v>
      </c>
      <c r="I58" s="6" t="s">
        <v>12</v>
      </c>
    </row>
    <row r="59" spans="2:14" ht="20.25" x14ac:dyDescent="0.4">
      <c r="B59" s="6">
        <v>248</v>
      </c>
      <c r="C59" s="6" t="s">
        <v>8</v>
      </c>
      <c r="D59" s="6" t="s">
        <v>67</v>
      </c>
      <c r="E59" s="6">
        <v>841</v>
      </c>
      <c r="F59" s="6">
        <v>111</v>
      </c>
      <c r="G59" s="6" t="s">
        <v>63</v>
      </c>
      <c r="H59" s="6" t="s">
        <v>11</v>
      </c>
      <c r="I59" s="6" t="s">
        <v>12</v>
      </c>
    </row>
    <row r="60" spans="2:14" ht="20.25" x14ac:dyDescent="0.4">
      <c r="B60" s="6">
        <v>241</v>
      </c>
      <c r="C60" s="6" t="s">
        <v>8</v>
      </c>
      <c r="D60" s="6" t="s">
        <v>67</v>
      </c>
      <c r="E60" s="6">
        <v>841</v>
      </c>
      <c r="F60" s="6">
        <v>110</v>
      </c>
      <c r="G60" s="6" t="s">
        <v>63</v>
      </c>
      <c r="H60" s="6" t="s">
        <v>11</v>
      </c>
      <c r="I60" s="6" t="s">
        <v>12</v>
      </c>
    </row>
    <row r="61" spans="2:14" ht="20.25" x14ac:dyDescent="0.4">
      <c r="B61" s="6">
        <v>222</v>
      </c>
      <c r="C61" s="6" t="s">
        <v>8</v>
      </c>
      <c r="D61" s="6" t="s">
        <v>55</v>
      </c>
      <c r="E61" s="6">
        <v>809</v>
      </c>
      <c r="F61" s="6">
        <v>118</v>
      </c>
      <c r="G61" s="6" t="s">
        <v>63</v>
      </c>
      <c r="H61" s="6" t="s">
        <v>11</v>
      </c>
      <c r="I61" s="6" t="s">
        <v>12</v>
      </c>
    </row>
    <row r="62" spans="2:14" ht="20.25" x14ac:dyDescent="0.4">
      <c r="B62" s="6">
        <v>245</v>
      </c>
      <c r="C62" s="6" t="s">
        <v>8</v>
      </c>
      <c r="D62" s="6" t="s">
        <v>55</v>
      </c>
      <c r="E62" s="6">
        <v>809</v>
      </c>
      <c r="F62" s="6">
        <v>118</v>
      </c>
      <c r="G62" s="6" t="s">
        <v>63</v>
      </c>
      <c r="H62" s="6" t="s">
        <v>11</v>
      </c>
      <c r="I62" s="6" t="s">
        <v>12</v>
      </c>
    </row>
    <row r="63" spans="2:14" ht="20.25" x14ac:dyDescent="0.4">
      <c r="B63" s="6">
        <v>239</v>
      </c>
      <c r="C63" s="6" t="s">
        <v>8</v>
      </c>
      <c r="D63" s="6" t="s">
        <v>55</v>
      </c>
      <c r="E63" s="6">
        <v>809</v>
      </c>
      <c r="F63" s="6">
        <v>120</v>
      </c>
      <c r="G63" s="6" t="s">
        <v>63</v>
      </c>
      <c r="H63" s="6" t="s">
        <v>11</v>
      </c>
      <c r="I63" s="6" t="s">
        <v>12</v>
      </c>
    </row>
  </sheetData>
  <autoFilter ref="B3:I3" xr:uid="{CA078F7E-9652-4345-AF89-6CEE1DA2B2A4}"/>
  <pageMargins left="0.23622047244094491" right="0.70866141732283472" top="0.19685039370078741" bottom="0.2" header="0.31496062992125984" footer="0.31496062992125984"/>
  <pageSetup paperSize="9" scale="45" orientation="landscape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STOCK-27-10-2026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wadhwa</dc:creator>
  <cp:lastModifiedBy>nitin wadhwa</cp:lastModifiedBy>
  <cp:lastPrinted>2026-10-27T11:46:53Z</cp:lastPrinted>
  <dcterms:created xsi:type="dcterms:W3CDTF">2026-10-27T11:25:29Z</dcterms:created>
  <dcterms:modified xsi:type="dcterms:W3CDTF">2026-10-27T11:58:38Z</dcterms:modified>
</cp:coreProperties>
</file>